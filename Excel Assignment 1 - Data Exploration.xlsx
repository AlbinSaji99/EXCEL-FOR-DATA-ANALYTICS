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219354e5068de50/Desktop/"/>
    </mc:Choice>
  </mc:AlternateContent>
  <xr:revisionPtr revIDLastSave="0" documentId="8_{F506D2A2-8029-4462-92FF-6FB1B9EB43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E39" i="2"/>
  <c r="E4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E42" i="2"/>
  <c r="E41" i="2"/>
  <c r="E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E44" i="2" s="1"/>
  <c r="G25" i="2"/>
  <c r="G26" i="2"/>
  <c r="G27" i="2"/>
  <c r="G28" i="2"/>
  <c r="G29" i="2"/>
  <c r="G30" i="2"/>
  <c r="G31" i="2"/>
  <c r="G32" i="2"/>
  <c r="G33" i="2"/>
  <c r="G34" i="2"/>
  <c r="G35" i="2"/>
  <c r="G2" i="2"/>
  <c r="G36" i="2" l="1"/>
</calcChain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<sst xmlns="http://schemas.openxmlformats.org/spreadsheetml/2006/main" count="171" uniqueCount="122">
  <si>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</si>
  <si>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</si>
  <si>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</si>
  <si>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</si>
  <si>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</si>
  <si>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</si>
  <si>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</si>
  <si>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</si>
  <si>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</si>
  <si>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</si>
  <si>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</si>
  <si>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</si>
  <si>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</si>
  <si>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</si>
  <si>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</si>
  <si>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</si>
  <si>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</si>
  <si>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</si>
  <si>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</si>
  <si>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</si>
  <si>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</si>
  <si>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</si>
  <si>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</si>
  <si>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</si>
  <si>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</si>
  <si>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</si>
  <si>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</si>
  <si>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</si>
  <si>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</si>
  <si>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</si>
  <si>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</si>
  <si>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</si>
  <si>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</si>
  <si>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</si>
  <si>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</si>
  <si>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</si>
  <si>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</si>
  <si>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</si>
  <si>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</si>
  <si>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</si>
  <si>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</si>
  <si>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</si>
  <si>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</si>
  <si>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</si>
  <si>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</si>
  <si>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</si>
  <si>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</si>
  <si>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</si>
  <si>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</si>
  <si>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</si>
  <si>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</si>
  <si>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</si>
  <si>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</si>
  <si>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</si>
  <si>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</si>
  <si>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</si>
  <si>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</si>
  <si>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</si>
  <si>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</si>
  <si>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</si>
  <si>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</si>
  <si>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</si>
  <si>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</si>
  <si>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</si>
  <si>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</si>
  <si>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</si>
  <si>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</si>
  <si>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</si>
  <si>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</si>
  <si>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</si>
  <si>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</si>
  <si>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</si>
  <si>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</si>
  <si>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</si>
  <si>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</si>
  <si>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</si>
  <si>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</si>
  <si>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</si>
  <si>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</si>
  <si>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</si>
  <si>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</si>
  <si>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</si>
  <si>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</si>
  <si>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</si>
  <si>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</si>
  <si>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</si>
  <si>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</si>
  <si>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</si>
  <si>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</si>
  <si>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</si>
  <si>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</si>
  <si>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</si>
  <si>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</si>
  <si>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</si>
  <si>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</si>
  <si>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</si>
  <si>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</si>
  <si>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</si>
  <si>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</si>
  <si>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</si>
  <si>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</si>
  <si>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</si>
  <si>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</si>
  <si>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</si>
  <si>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</si>
  <si>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</si>
  <si>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</si>
  <si>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</si>
  <si>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</si>
  <si>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</si>
  <si>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</si>
  <si>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</t>
  </si>
  <si>
    <t>TOTAL PRODUCTS</t>
  </si>
  <si>
    <t>AVERAGE</t>
  </si>
  <si>
    <t>MAXIMUM PRICE</t>
  </si>
  <si>
    <t>MINIMUM PRICE</t>
  </si>
  <si>
    <t>PRICE RANGE</t>
  </si>
  <si>
    <t xml:space="preserve">TOTAL PRICE OF ELECTRONICS </t>
  </si>
  <si>
    <t>PRODUCTS WITH AMOUNT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</si>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</sst>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4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ECD5E-BBBE-452F-9BDB-51BED68B506C}" name="Table1" displayName="Table1" ref="A1:K35" totalsRowShown="0" headerRowDxfId="0" dataDxfId="1">
  <autoFilter ref="A1:K35" xr:uid="{546ECD5E-BBBE-452F-9BDB-51BED68B506C}"/>
  <tableColumns count="11">
    <tableColumn id="1" xr3:uid="{B8DFB2C3-CF22-461B-8283-9D396F9D10FE}" name="Product ID" dataDxfId="12"/>
    <tableColumn id="2" xr3:uid="{F8CCC9A5-9E1C-48AA-B07B-0F8B764954AB}" name="Product Name" dataDxfId="11"/>
    <tableColumn id="3" xr3:uid="{0A2275EA-04C6-4748-98D5-B095FD1E8DD1}" name="Brand Name" dataDxfId="10"/>
    <tableColumn id="4" xr3:uid="{E3ADA93E-A7EC-4E80-AB88-08FFB49B6149}" name="Price ($)" dataDxfId="9"/>
    <tableColumn id="5" xr3:uid="{F7BEB0AC-948D-416F-BC71-DF1A84EF464C}" name="Quantity" dataDxfId="8"/>
    <tableColumn id="6" xr3:uid="{4D71CAD1-22C3-4C3E-B215-F6F65F58F673}" name="Category" dataDxfId="7"/>
    <tableColumn id="7" xr3:uid="{C8450D8F-0D4C-4E17-A7F6-190E8C89AEB7}" name="TOTAL PRICE" dataDxfId="6">
      <calculatedColumnFormula>D2*E2</calculatedColumnFormula>
    </tableColumn>
    <tableColumn id="8" xr3:uid="{5429EE1D-7052-4B4D-96FF-34BC18CAA5E8}" name="PRICE RANGE" dataDxfId="5">
      <calculatedColumnFormula>IF(Dataset!D2&gt;=500,"HIGH PRICE","STANDARD PRICE")</calculatedColumnFormula>
    </tableColumn>
    <tableColumn id="9" xr3:uid="{0B8A59E7-85A6-43D9-B2EA-48638376A334}" name="DAY" dataDxfId="4">
      <calculatedColumnFormula>LEFT(A2,2)</calculatedColumnFormula>
    </tableColumn>
    <tableColumn id="10" xr3:uid="{8E961A65-FB0E-494F-8926-8EFD69A245D5}" name="Country Code" dataDxfId="3">
      <calculatedColumnFormula>RIGHT(A2,2)</calculatedColumnFormula>
    </tableColumn>
    <tableColumn id="11" xr3:uid="{57B97D45-F93C-4C0B-BB3F-1127D4DB8B5E}" name="Month" dataDxfId="2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abSelected="1" workbookViewId="0">
      <selection activeCell="L18" sqref="L18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12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1"/>
  <sheetViews>
    <sheetView zoomScale="92" workbookViewId="0">
      <selection activeCell="S20" sqref="S20"/>
    </sheetView>
  </sheetViews>
  <sheetFormatPr defaultColWidth="12.5703125" defaultRowHeight="15" customHeight="1" x14ac:dyDescent="0.2"/>
  <cols>
    <col min="1" max="1" width="12.5703125" customWidth="1"/>
    <col min="2" max="2" width="15.7109375" customWidth="1"/>
    <col min="3" max="3" width="14" customWidth="1"/>
    <col min="4" max="6" width="12.5703125" customWidth="1"/>
    <col min="7" max="7" width="14.7109375" customWidth="1"/>
    <col min="8" max="8" width="22.5703125" style="8" customWidth="1"/>
    <col min="9" max="9" width="12.5703125" style="8"/>
    <col min="10" max="10" width="14.85546875" style="8" customWidth="1"/>
    <col min="11" max="11" width="12.5703125" style="8"/>
  </cols>
  <sheetData>
    <row r="1" spans="1:11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110</v>
      </c>
      <c r="H1" s="11" t="s">
        <v>116</v>
      </c>
      <c r="I1" s="11" t="s">
        <v>119</v>
      </c>
      <c r="J1" s="11" t="s">
        <v>120</v>
      </c>
      <c r="K1" s="11" t="s">
        <v>121</v>
      </c>
    </row>
    <row r="2" spans="1:11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>
        <f>D2*E2</f>
        <v>30000</v>
      </c>
      <c r="H2" s="8" t="str">
        <f>IF(Dataset!D2&gt;=500,"HIGH PRICE","STANDARD PRICE")</f>
        <v>HIGH PRICE</v>
      </c>
      <c r="I2" s="8" t="str">
        <f>LEFT(A2,2)</f>
        <v>28</v>
      </c>
      <c r="J2" s="8" t="str">
        <f>RIGHT(A2,2)</f>
        <v>US</v>
      </c>
      <c r="K2" s="8" t="str">
        <f>MID(A2,4,3)</f>
        <v>JAN</v>
      </c>
    </row>
    <row r="3" spans="1:11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>
        <f t="shared" ref="G3:G35" si="0">D3*E3</f>
        <v>1200</v>
      </c>
      <c r="H3" s="8" t="str">
        <f>IF(Dataset!D3&gt;=500,"HIGH PRICE","STANDARD PRICE")</f>
        <v>STANDARD PRICE</v>
      </c>
      <c r="I3" s="8" t="str">
        <f t="shared" ref="I3:I35" si="1">LEFT(A3,2)</f>
        <v>15</v>
      </c>
      <c r="J3" s="8" t="str">
        <f t="shared" ref="J3:J35" si="2">RIGHT(A3,2)</f>
        <v>US</v>
      </c>
      <c r="K3" s="8" t="str">
        <f t="shared" ref="K3:K35" si="3">MID(A3,4,3)</f>
        <v>FEB</v>
      </c>
    </row>
    <row r="4" spans="1:11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>
        <f t="shared" si="0"/>
        <v>5200</v>
      </c>
      <c r="H4" s="8" t="str">
        <f>IF(Dataset!D4&gt;=500,"HIGH PRICE","STANDARD PRICE")</f>
        <v>STANDARD PRICE</v>
      </c>
      <c r="I4" s="8" t="str">
        <f t="shared" si="1"/>
        <v>03</v>
      </c>
      <c r="J4" s="8" t="str">
        <f t="shared" si="2"/>
        <v>US</v>
      </c>
      <c r="K4" s="8" t="str">
        <f t="shared" si="3"/>
        <v>MAR</v>
      </c>
    </row>
    <row r="5" spans="1:11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>
        <f t="shared" si="0"/>
        <v>22500</v>
      </c>
      <c r="H5" s="8" t="str">
        <f>IF(Dataset!D5&gt;=500,"HIGH PRICE","STANDARD PRICE")</f>
        <v>HIGH PRICE</v>
      </c>
      <c r="I5" s="8" t="str">
        <f t="shared" si="1"/>
        <v>11</v>
      </c>
      <c r="J5" s="8" t="str">
        <f t="shared" si="2"/>
        <v>US</v>
      </c>
      <c r="K5" s="8" t="str">
        <f t="shared" si="3"/>
        <v>APR</v>
      </c>
    </row>
    <row r="6" spans="1:11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>
        <f t="shared" si="0"/>
        <v>1400</v>
      </c>
      <c r="H6" s="8" t="str">
        <f>IF(Dataset!D6&gt;=500,"HIGH PRICE","STANDARD PRICE")</f>
        <v>STANDARD PRICE</v>
      </c>
      <c r="I6" s="8" t="str">
        <f t="shared" si="1"/>
        <v>22</v>
      </c>
      <c r="J6" s="8" t="str">
        <f t="shared" si="2"/>
        <v>US</v>
      </c>
      <c r="K6" s="8" t="str">
        <f t="shared" si="3"/>
        <v>MAY</v>
      </c>
    </row>
    <row r="7" spans="1:11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>
        <f t="shared" si="0"/>
        <v>9000</v>
      </c>
      <c r="H7" s="8" t="str">
        <f>IF(Dataset!D7&gt;=500,"HIGH PRICE","STANDARD PRICE")</f>
        <v>STANDARD PRICE</v>
      </c>
      <c r="I7" s="8" t="str">
        <f t="shared" si="1"/>
        <v>07</v>
      </c>
      <c r="J7" s="8" t="str">
        <f t="shared" si="2"/>
        <v>UK</v>
      </c>
      <c r="K7" s="8" t="str">
        <f t="shared" si="3"/>
        <v>JUN</v>
      </c>
    </row>
    <row r="8" spans="1:11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>
        <f t="shared" si="0"/>
        <v>150</v>
      </c>
      <c r="H8" s="8" t="str">
        <f>IF(Dataset!D8&gt;=500,"HIGH PRICE","STANDARD PRICE")</f>
        <v>STANDARD PRICE</v>
      </c>
      <c r="I8" s="8" t="str">
        <f t="shared" si="1"/>
        <v>19</v>
      </c>
      <c r="J8" s="8" t="str">
        <f t="shared" si="2"/>
        <v>UK</v>
      </c>
      <c r="K8" s="8" t="str">
        <f t="shared" si="3"/>
        <v>JUL</v>
      </c>
    </row>
    <row r="9" spans="1:11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>
        <f t="shared" si="0"/>
        <v>3150</v>
      </c>
      <c r="H9" s="8" t="str">
        <f>IF(Dataset!D9&gt;=500,"HIGH PRICE","STANDARD PRICE")</f>
        <v>STANDARD PRICE</v>
      </c>
      <c r="I9" s="8" t="str">
        <f t="shared" si="1"/>
        <v>23</v>
      </c>
      <c r="J9" s="8" t="str">
        <f t="shared" si="2"/>
        <v>UK</v>
      </c>
      <c r="K9" s="8" t="str">
        <f t="shared" si="3"/>
        <v>AUG</v>
      </c>
    </row>
    <row r="10" spans="1:11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>
        <f t="shared" si="0"/>
        <v>25000</v>
      </c>
      <c r="H10" s="8" t="str">
        <f>IF(Dataset!D10&gt;=500,"HIGH PRICE","STANDARD PRICE")</f>
        <v>HIGH PRICE</v>
      </c>
      <c r="I10" s="8" t="str">
        <f t="shared" si="1"/>
        <v>05</v>
      </c>
      <c r="J10" s="8" t="str">
        <f t="shared" si="2"/>
        <v>UK</v>
      </c>
      <c r="K10" s="8" t="str">
        <f t="shared" si="3"/>
        <v>SEP</v>
      </c>
    </row>
    <row r="11" spans="1:11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>
        <f t="shared" si="0"/>
        <v>1300</v>
      </c>
      <c r="H11" s="8" t="str">
        <f>IF(Dataset!D11&gt;=500,"HIGH PRICE","STANDARD PRICE")</f>
        <v>STANDARD PRICE</v>
      </c>
      <c r="I11" s="8" t="str">
        <f t="shared" si="1"/>
        <v>14</v>
      </c>
      <c r="J11" s="8" t="str">
        <f t="shared" si="2"/>
        <v>UK</v>
      </c>
      <c r="K11" s="8" t="str">
        <f t="shared" si="3"/>
        <v>OCT</v>
      </c>
    </row>
    <row r="12" spans="1:11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>
        <f t="shared" si="0"/>
        <v>23750</v>
      </c>
      <c r="H12" s="8" t="str">
        <f>IF(Dataset!D12&gt;=500,"HIGH PRICE","STANDARD PRICE")</f>
        <v>HIGH PRICE</v>
      </c>
      <c r="I12" s="8" t="str">
        <f t="shared" si="1"/>
        <v>17</v>
      </c>
      <c r="J12" s="8" t="str">
        <f t="shared" si="2"/>
        <v>IN</v>
      </c>
      <c r="K12" s="8" t="str">
        <f t="shared" si="3"/>
        <v>JUN</v>
      </c>
    </row>
    <row r="13" spans="1:11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>
        <f t="shared" si="0"/>
        <v>3600</v>
      </c>
      <c r="H13" s="8" t="str">
        <f>IF(Dataset!D13&gt;=500,"HIGH PRICE","STANDARD PRICE")</f>
        <v>STANDARD PRICE</v>
      </c>
      <c r="I13" s="8" t="str">
        <f t="shared" si="1"/>
        <v>25</v>
      </c>
      <c r="J13" s="8" t="str">
        <f t="shared" si="2"/>
        <v>AU</v>
      </c>
      <c r="K13" s="8" t="str">
        <f t="shared" si="3"/>
        <v>NOV</v>
      </c>
    </row>
    <row r="14" spans="1:11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>
        <f t="shared" si="0"/>
        <v>4200</v>
      </c>
      <c r="H14" s="8" t="str">
        <f>IF(Dataset!D14&gt;=500,"HIGH PRICE","STANDARD PRICE")</f>
        <v>STANDARD PRICE</v>
      </c>
      <c r="I14" s="8" t="str">
        <f t="shared" si="1"/>
        <v>08</v>
      </c>
      <c r="J14" s="8" t="str">
        <f t="shared" si="2"/>
        <v>DE</v>
      </c>
      <c r="K14" s="8" t="str">
        <f t="shared" si="3"/>
        <v>DEC</v>
      </c>
    </row>
    <row r="15" spans="1:11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>
        <f t="shared" si="0"/>
        <v>2250</v>
      </c>
      <c r="H15" s="8" t="str">
        <f>IF(Dataset!D15&gt;=500,"HIGH PRICE","STANDARD PRICE")</f>
        <v>STANDARD PRICE</v>
      </c>
      <c r="I15" s="8" t="str">
        <f t="shared" si="1"/>
        <v>18</v>
      </c>
      <c r="J15" s="8" t="str">
        <f t="shared" si="2"/>
        <v>CA</v>
      </c>
      <c r="K15" s="8" t="str">
        <f t="shared" si="3"/>
        <v>FEB</v>
      </c>
    </row>
    <row r="16" spans="1:11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>
        <f t="shared" si="0"/>
        <v>5000</v>
      </c>
      <c r="H16" s="8" t="str">
        <f>IF(Dataset!D16&gt;=500,"HIGH PRICE","STANDARD PRICE")</f>
        <v>STANDARD PRICE</v>
      </c>
      <c r="I16" s="8" t="str">
        <f t="shared" si="1"/>
        <v>16</v>
      </c>
      <c r="J16" s="8" t="str">
        <f t="shared" si="2"/>
        <v>ES</v>
      </c>
      <c r="K16" s="8" t="str">
        <f t="shared" si="3"/>
        <v>APR</v>
      </c>
    </row>
    <row r="17" spans="1:11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>
        <f t="shared" si="0"/>
        <v>1750</v>
      </c>
      <c r="H17" s="8" t="str">
        <f>IF(Dataset!D17&gt;=500,"HIGH PRICE","STANDARD PRICE")</f>
        <v>STANDARD PRICE</v>
      </c>
      <c r="I17" s="8" t="str">
        <f t="shared" si="1"/>
        <v>21</v>
      </c>
      <c r="J17" s="8" t="str">
        <f t="shared" si="2"/>
        <v>CA</v>
      </c>
      <c r="K17" s="8" t="str">
        <f t="shared" si="3"/>
        <v>AUG</v>
      </c>
    </row>
    <row r="18" spans="1:11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>
        <f t="shared" si="0"/>
        <v>2400</v>
      </c>
      <c r="H18" s="8" t="str">
        <f>IF(Dataset!D18&gt;=500,"HIGH PRICE","STANDARD PRICE")</f>
        <v>STANDARD PRICE</v>
      </c>
      <c r="I18" s="8" t="str">
        <f t="shared" si="1"/>
        <v>20</v>
      </c>
      <c r="J18" s="8" t="str">
        <f t="shared" si="2"/>
        <v>CN</v>
      </c>
      <c r="K18" s="8" t="str">
        <f t="shared" si="3"/>
        <v>AUG</v>
      </c>
    </row>
    <row r="19" spans="1:11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>
        <f t="shared" si="0"/>
        <v>9800</v>
      </c>
      <c r="H19" s="8" t="str">
        <f>IF(Dataset!D19&gt;=500,"HIGH PRICE","STANDARD PRICE")</f>
        <v>HIGH PRICE</v>
      </c>
      <c r="I19" s="8" t="str">
        <f t="shared" si="1"/>
        <v>27</v>
      </c>
      <c r="J19" s="8" t="str">
        <f t="shared" si="2"/>
        <v>IT</v>
      </c>
      <c r="K19" s="8" t="str">
        <f t="shared" si="3"/>
        <v>JAN</v>
      </c>
    </row>
    <row r="20" spans="1:11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>
        <f t="shared" si="0"/>
        <v>2250</v>
      </c>
      <c r="H20" s="8" t="str">
        <f>IF(Dataset!D20&gt;=500,"HIGH PRICE","STANDARD PRICE")</f>
        <v>STANDARD PRICE</v>
      </c>
      <c r="I20" s="8" t="str">
        <f t="shared" si="1"/>
        <v>01</v>
      </c>
      <c r="J20" s="8" t="str">
        <f t="shared" si="2"/>
        <v>UK</v>
      </c>
      <c r="K20" s="8" t="str">
        <f t="shared" si="3"/>
        <v>MAR</v>
      </c>
    </row>
    <row r="21" spans="1:11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>
        <f t="shared" si="0"/>
        <v>2000</v>
      </c>
      <c r="H21" s="8" t="str">
        <f>IF(Dataset!D21&gt;=500,"HIGH PRICE","STANDARD PRICE")</f>
        <v>STANDARD PRICE</v>
      </c>
      <c r="I21" s="8" t="str">
        <f t="shared" si="1"/>
        <v>14</v>
      </c>
      <c r="J21" s="8" t="str">
        <f t="shared" si="2"/>
        <v>US</v>
      </c>
      <c r="K21" s="8" t="str">
        <f t="shared" si="3"/>
        <v>AUG</v>
      </c>
    </row>
    <row r="22" spans="1:11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>
        <f t="shared" si="0"/>
        <v>35000</v>
      </c>
      <c r="H22" s="8" t="str">
        <f>IF(Dataset!D22&gt;=500,"HIGH PRICE","STANDARD PRICE")</f>
        <v>HIGH PRICE</v>
      </c>
      <c r="I22" s="8" t="str">
        <f t="shared" si="1"/>
        <v>14</v>
      </c>
      <c r="J22" s="8" t="str">
        <f t="shared" si="2"/>
        <v>RU</v>
      </c>
      <c r="K22" s="8" t="str">
        <f t="shared" si="3"/>
        <v>MAY</v>
      </c>
    </row>
    <row r="23" spans="1:11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>
        <f t="shared" si="0"/>
        <v>1600</v>
      </c>
      <c r="H23" s="8" t="str">
        <f>IF(Dataset!D23&gt;=500,"HIGH PRICE","STANDARD PRICE")</f>
        <v>STANDARD PRICE</v>
      </c>
      <c r="I23" s="8" t="str">
        <f t="shared" si="1"/>
        <v>09</v>
      </c>
      <c r="J23" s="8" t="str">
        <f t="shared" si="2"/>
        <v>CA</v>
      </c>
      <c r="K23" s="8" t="str">
        <f t="shared" si="3"/>
        <v>JAN</v>
      </c>
    </row>
    <row r="24" spans="1:11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>
        <f t="shared" si="0"/>
        <v>4500</v>
      </c>
      <c r="H24" s="8" t="str">
        <f>IF(Dataset!D24&gt;=500,"HIGH PRICE","STANDARD PRICE")</f>
        <v>STANDARD PRICE</v>
      </c>
      <c r="I24" s="8" t="str">
        <f t="shared" si="1"/>
        <v>19</v>
      </c>
      <c r="J24" s="8" t="str">
        <f t="shared" si="2"/>
        <v>BR</v>
      </c>
      <c r="K24" s="8" t="str">
        <f t="shared" si="3"/>
        <v>JUL</v>
      </c>
    </row>
    <row r="25" spans="1:11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>
        <f t="shared" si="0"/>
        <v>1750</v>
      </c>
      <c r="H25" s="8" t="str">
        <f>IF(Dataset!D25&gt;=500,"HIGH PRICE","STANDARD PRICE")</f>
        <v>STANDARD PRICE</v>
      </c>
      <c r="I25" s="8" t="str">
        <f t="shared" si="1"/>
        <v>21</v>
      </c>
      <c r="J25" s="8" t="str">
        <f t="shared" si="2"/>
        <v>CA</v>
      </c>
      <c r="K25" s="8" t="str">
        <f t="shared" si="3"/>
        <v>AUG</v>
      </c>
    </row>
    <row r="26" spans="1:11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>
        <f t="shared" si="0"/>
        <v>36000</v>
      </c>
      <c r="H26" s="8" t="str">
        <f>IF(Dataset!D26&gt;=500,"HIGH PRICE","STANDARD PRICE")</f>
        <v>HIGH PRICE</v>
      </c>
      <c r="I26" s="8" t="str">
        <f t="shared" si="1"/>
        <v>29</v>
      </c>
      <c r="J26" s="8" t="str">
        <f t="shared" si="2"/>
        <v>CA</v>
      </c>
      <c r="K26" s="8" t="str">
        <f t="shared" si="3"/>
        <v>SEP</v>
      </c>
    </row>
    <row r="27" spans="1:11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>
        <f t="shared" si="0"/>
        <v>3250</v>
      </c>
      <c r="H27" s="8" t="str">
        <f>IF(Dataset!D27&gt;=500,"HIGH PRICE","STANDARD PRICE")</f>
        <v>STANDARD PRICE</v>
      </c>
      <c r="I27" s="8" t="str">
        <f t="shared" si="1"/>
        <v>03</v>
      </c>
      <c r="J27" s="8" t="str">
        <f t="shared" si="2"/>
        <v>CA</v>
      </c>
      <c r="K27" s="8" t="str">
        <f t="shared" si="3"/>
        <v>JUN</v>
      </c>
    </row>
    <row r="28" spans="1:11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>
        <f t="shared" si="0"/>
        <v>16000</v>
      </c>
      <c r="H28" s="8" t="str">
        <f>IF(Dataset!D28&gt;=500,"HIGH PRICE","STANDARD PRICE")</f>
        <v>STANDARD PRICE</v>
      </c>
      <c r="I28" s="8" t="str">
        <f t="shared" si="1"/>
        <v>11</v>
      </c>
      <c r="J28" s="8" t="str">
        <f t="shared" si="2"/>
        <v>CA</v>
      </c>
      <c r="K28" s="8" t="str">
        <f t="shared" si="3"/>
        <v>JUL</v>
      </c>
    </row>
    <row r="29" spans="1:11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>
        <f t="shared" si="0"/>
        <v>4600</v>
      </c>
      <c r="H29" s="8" t="str">
        <f>IF(Dataset!D29&gt;=500,"HIGH PRICE","STANDARD PRICE")</f>
        <v>STANDARD PRICE</v>
      </c>
      <c r="I29" s="8" t="str">
        <f t="shared" si="1"/>
        <v>16</v>
      </c>
      <c r="J29" s="8" t="str">
        <f t="shared" si="2"/>
        <v>ES</v>
      </c>
      <c r="K29" s="8" t="str">
        <f t="shared" si="3"/>
        <v>APR</v>
      </c>
    </row>
    <row r="30" spans="1:11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>
        <f t="shared" si="0"/>
        <v>1800</v>
      </c>
      <c r="H30" s="8" t="str">
        <f>IF(Dataset!D30&gt;=500,"HIGH PRICE","STANDARD PRICE")</f>
        <v>STANDARD PRICE</v>
      </c>
      <c r="I30" s="8" t="str">
        <f t="shared" si="1"/>
        <v>07</v>
      </c>
      <c r="J30" s="8" t="str">
        <f t="shared" si="2"/>
        <v>CA</v>
      </c>
      <c r="K30" s="8" t="str">
        <f t="shared" si="3"/>
        <v>MAR</v>
      </c>
    </row>
    <row r="31" spans="1:11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>
        <f t="shared" si="0"/>
        <v>400</v>
      </c>
      <c r="H31" s="8" t="str">
        <f>IF(Dataset!D31&gt;=500,"HIGH PRICE","STANDARD PRICE")</f>
        <v>STANDARD PRICE</v>
      </c>
      <c r="I31" s="8" t="str">
        <f t="shared" si="1"/>
        <v>13</v>
      </c>
      <c r="J31" s="8" t="str">
        <f t="shared" si="2"/>
        <v>CA</v>
      </c>
      <c r="K31" s="8" t="str">
        <f t="shared" si="3"/>
        <v>APR</v>
      </c>
    </row>
    <row r="32" spans="1:11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>
        <f t="shared" si="0"/>
        <v>650</v>
      </c>
      <c r="H32" s="8" t="str">
        <f>IF(Dataset!D32&gt;=500,"HIGH PRICE","STANDARD PRICE")</f>
        <v>STANDARD PRICE</v>
      </c>
      <c r="I32" s="8" t="str">
        <f t="shared" si="1"/>
        <v>24</v>
      </c>
      <c r="J32" s="8" t="str">
        <f t="shared" si="2"/>
        <v>CA</v>
      </c>
      <c r="K32" s="8" t="str">
        <f t="shared" si="3"/>
        <v>MAY</v>
      </c>
    </row>
    <row r="33" spans="1:11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>
        <f t="shared" si="0"/>
        <v>2500</v>
      </c>
      <c r="H33" s="8" t="str">
        <f>IF(Dataset!D33&gt;=500,"HIGH PRICE","STANDARD PRICE")</f>
        <v>STANDARD PRICE</v>
      </c>
      <c r="I33" s="8" t="str">
        <f t="shared" si="1"/>
        <v>02</v>
      </c>
      <c r="J33" s="8" t="str">
        <f t="shared" si="2"/>
        <v>CA</v>
      </c>
      <c r="K33" s="8" t="str">
        <f t="shared" si="3"/>
        <v>DEC</v>
      </c>
    </row>
    <row r="34" spans="1:11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>
        <f t="shared" si="0"/>
        <v>23750</v>
      </c>
      <c r="H34" s="8" t="str">
        <f>IF(Dataset!D34&gt;=500,"HIGH PRICE","STANDARD PRICE")</f>
        <v>HIGH PRICE</v>
      </c>
      <c r="I34" s="8" t="str">
        <f t="shared" si="1"/>
        <v>17</v>
      </c>
      <c r="J34" s="8" t="str">
        <f t="shared" si="2"/>
        <v>IN</v>
      </c>
      <c r="K34" s="8" t="str">
        <f t="shared" si="3"/>
        <v>JUN</v>
      </c>
    </row>
    <row r="35" spans="1:11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>
        <f t="shared" si="0"/>
        <v>2000</v>
      </c>
      <c r="H35" s="8" t="str">
        <f>IF(Dataset!D35&gt;=500,"HIGH PRICE","STANDARD PRICE")</f>
        <v>STANDARD PRICE</v>
      </c>
      <c r="I35" s="8" t="str">
        <f t="shared" si="1"/>
        <v>09</v>
      </c>
      <c r="J35" s="8" t="str">
        <f t="shared" si="2"/>
        <v>FR</v>
      </c>
      <c r="K35" s="8" t="str">
        <f t="shared" si="3"/>
        <v>JUL</v>
      </c>
    </row>
    <row r="36" spans="1:11" ht="33.75" customHeight="1" x14ac:dyDescent="0.2">
      <c r="A36" s="9" t="s">
        <v>111</v>
      </c>
      <c r="B36" s="9"/>
      <c r="C36" s="9"/>
      <c r="D36" s="9"/>
      <c r="E36" s="9"/>
      <c r="F36" s="9"/>
      <c r="G36" s="10">
        <f>SUM(G2:G35)</f>
        <v>289700</v>
      </c>
    </row>
    <row r="37" spans="1:11" ht="15.75" customHeight="1" x14ac:dyDescent="0.2"/>
    <row r="38" spans="1:11" ht="34.5" customHeight="1" x14ac:dyDescent="0.2">
      <c r="C38" s="14" t="s">
        <v>112</v>
      </c>
      <c r="D38" s="14"/>
      <c r="E38" s="13">
        <f>COUNTA(B2:B35)</f>
        <v>34</v>
      </c>
    </row>
    <row r="39" spans="1:11" ht="29.25" customHeight="1" x14ac:dyDescent="0.2">
      <c r="C39" s="16" t="s">
        <v>113</v>
      </c>
      <c r="D39" s="17"/>
      <c r="E39" s="20">
        <f>AVERAGE(D2:D35)</f>
        <v>297.05882352941177</v>
      </c>
    </row>
    <row r="40" spans="1:11" ht="15.75" customHeight="1" x14ac:dyDescent="0.2">
      <c r="C40" s="18"/>
      <c r="D40" s="19"/>
      <c r="E40" s="21"/>
    </row>
    <row r="41" spans="1:11" ht="34.5" customHeight="1" x14ac:dyDescent="0.2">
      <c r="C41" s="14" t="s">
        <v>114</v>
      </c>
      <c r="D41" s="14"/>
      <c r="E41" s="15">
        <f>MAX(D2:D35)</f>
        <v>1000</v>
      </c>
    </row>
    <row r="42" spans="1:11" ht="42" customHeight="1" x14ac:dyDescent="0.2">
      <c r="C42" s="16" t="s">
        <v>115</v>
      </c>
      <c r="D42" s="17"/>
      <c r="E42" s="22">
        <f>MIN(D2:D35)</f>
        <v>30</v>
      </c>
    </row>
    <row r="43" spans="1:11" ht="15.75" customHeight="1" x14ac:dyDescent="0.2">
      <c r="C43" s="18"/>
      <c r="D43" s="19"/>
      <c r="E43" s="23"/>
    </row>
    <row r="44" spans="1:11" ht="51.75" customHeight="1" x14ac:dyDescent="0.2">
      <c r="C44" s="14" t="s">
        <v>117</v>
      </c>
      <c r="D44" s="14"/>
      <c r="E44" s="13">
        <f>SUMIF(F2:F35,"ELECTRONICS",G2:G35)</f>
        <v>234200</v>
      </c>
    </row>
    <row r="45" spans="1:11" ht="81" customHeight="1" x14ac:dyDescent="0.2">
      <c r="C45" s="14" t="s">
        <v>118</v>
      </c>
      <c r="D45" s="14"/>
      <c r="E45" s="13">
        <f>COUNTIF(D2:D35,"&lt;100")</f>
        <v>11</v>
      </c>
    </row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9">
    <mergeCell ref="C44:D44"/>
    <mergeCell ref="C45:D45"/>
    <mergeCell ref="C39:D40"/>
    <mergeCell ref="E39:E40"/>
    <mergeCell ref="C42:D43"/>
    <mergeCell ref="E42:E43"/>
    <mergeCell ref="A36:F36"/>
    <mergeCell ref="C38:D38"/>
    <mergeCell ref="C41:D4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SAJI</dc:creator>
  <cp:lastModifiedBy>ALBIN SAJI</cp:lastModifiedBy>
  <dcterms:created xsi:type="dcterms:W3CDTF">2026-10-17T06:42:36Z</dcterms:created>
  <dcterms:modified xsi:type="dcterms:W3CDTF">2026-10-17T06:44:48Z</dcterms:modified>
</cp:coreProperties>
</file>